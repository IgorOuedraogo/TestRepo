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igor_ouedraogo_wfp_org/Documents/Desktop/Plan 2025 Paretenaire/"/>
    </mc:Choice>
  </mc:AlternateContent>
  <xr:revisionPtr revIDLastSave="507" documentId="8_{635E8E27-8878-498D-9B91-B46F3D0659B9}" xr6:coauthVersionLast="47" xr6:coauthVersionMax="47" xr10:uidLastSave="{60048497-79E6-42B0-AAB7-5925DEFEB525}"/>
  <bookViews>
    <workbookView xWindow="-110" yWindow="-110" windowWidth="19420" windowHeight="11500" activeTab="2" xr2:uid="{EF404C75-4439-4C9A-B5C0-8C1E79F5D393}"/>
  </bookViews>
  <sheets>
    <sheet name="Sheet1" sheetId="1" r:id="rId1"/>
    <sheet name="Act6" sheetId="4" r:id="rId2"/>
    <sheet name="Act6 (2)" sheetId="5" r:id="rId3"/>
    <sheet name="Sheet2" sheetId="2" r:id="rId4"/>
    <sheet name="Planing_Mars" sheetId="3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5" l="1"/>
  <c r="N5" i="5"/>
  <c r="F37" i="5" l="1"/>
  <c r="F38" i="5"/>
  <c r="D42" i="5" s="1"/>
  <c r="H25" i="2"/>
  <c r="F25" i="2"/>
  <c r="E25" i="2"/>
  <c r="G24" i="2"/>
  <c r="G23" i="2"/>
  <c r="G22" i="2"/>
  <c r="G21" i="2"/>
  <c r="G20" i="2"/>
  <c r="G19" i="2"/>
  <c r="G18" i="2"/>
  <c r="G17" i="2"/>
  <c r="G16" i="2"/>
  <c r="G15" i="2"/>
  <c r="G25" i="2" s="1"/>
  <c r="D27" i="5"/>
  <c r="E13" i="2"/>
  <c r="F9" i="4" l="1"/>
  <c r="C15" i="5"/>
  <c r="K7" i="5"/>
  <c r="J7" i="5"/>
  <c r="I7" i="5"/>
  <c r="E7" i="5"/>
  <c r="D7" i="5"/>
  <c r="C7" i="5"/>
  <c r="N6" i="5"/>
  <c r="O6" i="5" s="1"/>
  <c r="M6" i="5"/>
  <c r="O5" i="5"/>
  <c r="M5" i="5"/>
  <c r="N4" i="5"/>
  <c r="O4" i="5" s="1"/>
  <c r="F4" i="5"/>
  <c r="K20" i="5" s="1"/>
  <c r="N3" i="5"/>
  <c r="O3" i="5" s="1"/>
  <c r="M3" i="5"/>
  <c r="P3" i="5" s="1"/>
  <c r="D28" i="5" l="1"/>
  <c r="C17" i="5"/>
  <c r="P11" i="5" s="1"/>
  <c r="P5" i="5"/>
  <c r="O18" i="5" s="1"/>
  <c r="N7" i="5"/>
  <c r="P6" i="5"/>
  <c r="H4" i="5"/>
  <c r="F7" i="5"/>
  <c r="D9" i="4"/>
  <c r="E9" i="4"/>
  <c r="C9" i="4"/>
  <c r="C19" i="1"/>
  <c r="C20" i="1" s="1"/>
  <c r="H18" i="1"/>
  <c r="H20" i="1" s="1"/>
  <c r="E18" i="1"/>
  <c r="K17" i="1"/>
  <c r="F9" i="1"/>
  <c r="E9" i="1"/>
  <c r="D9" i="1"/>
  <c r="O13" i="5" l="1"/>
  <c r="O11" i="5"/>
  <c r="M13" i="5"/>
  <c r="P13" i="5"/>
  <c r="M11" i="5"/>
  <c r="O14" i="5"/>
  <c r="F11" i="5"/>
  <c r="D14" i="5"/>
  <c r="N14" i="5"/>
  <c r="F12" i="5"/>
  <c r="J14" i="5"/>
  <c r="G12" i="5"/>
  <c r="H12" i="5"/>
  <c r="F13" i="5"/>
  <c r="E11" i="5"/>
  <c r="P14" i="5"/>
  <c r="I14" i="5"/>
  <c r="N11" i="5"/>
  <c r="D12" i="5"/>
  <c r="H14" i="5"/>
  <c r="K12" i="5"/>
  <c r="J11" i="5"/>
  <c r="G14" i="5"/>
  <c r="J12" i="5"/>
  <c r="D13" i="5"/>
  <c r="K14" i="5"/>
  <c r="I13" i="5"/>
  <c r="N12" i="5"/>
  <c r="L13" i="5"/>
  <c r="H11" i="5"/>
  <c r="E12" i="5"/>
  <c r="M14" i="5"/>
  <c r="K13" i="5"/>
  <c r="L14" i="5"/>
  <c r="L12" i="5"/>
  <c r="H13" i="5"/>
  <c r="E13" i="5"/>
  <c r="G11" i="5"/>
  <c r="J13" i="5"/>
  <c r="D11" i="5"/>
  <c r="K11" i="5"/>
  <c r="E14" i="5"/>
  <c r="O12" i="5"/>
  <c r="L11" i="5"/>
  <c r="I11" i="5"/>
  <c r="G13" i="5"/>
  <c r="I12" i="5"/>
  <c r="F14" i="5"/>
  <c r="O7" i="5"/>
  <c r="M4" i="5"/>
  <c r="G9" i="4"/>
  <c r="O22" i="5" l="1"/>
  <c r="I15" i="5"/>
  <c r="F15" i="5"/>
  <c r="N15" i="5"/>
  <c r="G15" i="5"/>
  <c r="H15" i="5"/>
  <c r="J15" i="5"/>
  <c r="K15" i="5"/>
  <c r="D15" i="5"/>
  <c r="L15" i="5"/>
  <c r="E15" i="5"/>
  <c r="O15" i="5"/>
  <c r="P4" i="5"/>
  <c r="P12" i="5" s="1"/>
  <c r="M12" i="5"/>
  <c r="M15" i="5" s="1"/>
  <c r="M7" i="5"/>
  <c r="P15" i="5" l="1"/>
  <c r="P7" i="5"/>
</calcChain>
</file>

<file path=xl/sharedStrings.xml><?xml version="1.0" encoding="utf-8"?>
<sst xmlns="http://schemas.openxmlformats.org/spreadsheetml/2006/main" count="155" uniqueCount="85">
  <si>
    <t>CNAMU</t>
  </si>
  <si>
    <t>N° PODA</t>
  </si>
  <si>
    <t>Denomination</t>
  </si>
  <si>
    <t xml:space="preserve"> Original Amount</t>
  </si>
  <si>
    <t xml:space="preserve"> Consumed Amount</t>
  </si>
  <si>
    <t xml:space="preserve"> Balance Amount</t>
  </si>
  <si>
    <t>ST RSU</t>
  </si>
  <si>
    <t>SE CNSA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</si>
  <si>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SE CNSA : $ 15,811.17</t>
    </r>
  </si>
  <si>
    <t>SP CONASUR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</si>
  <si>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SP CONASUR : $ 13, 989</t>
    </r>
  </si>
  <si>
    <t>SP CONASUR ( Avenant)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</si>
  <si>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CNAMU : $ 12,629</t>
    </r>
  </si>
  <si>
    <t>TOTAL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</si>
  <si>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ST-RSU : $ 47,632.000 $</t>
    </r>
  </si>
  <si>
    <t xml:space="preserve"> Original Amount </t>
  </si>
  <si>
    <t>Consummed Amount</t>
  </si>
  <si>
    <t>Balance MoU</t>
  </si>
  <si>
    <t>Somme total des avances recus partenaires</t>
  </si>
  <si>
    <t xml:space="preserve">Balance chez le partenaire </t>
  </si>
  <si>
    <t>Commentaire</t>
  </si>
  <si>
    <t>Fin du MoU. Le partenaire doit reverser environs $ 864 dans les comptes du PAM</t>
  </si>
  <si>
    <t>MoU en cours de finition et en attente des factures d'un montant de $ 14 000</t>
  </si>
  <si>
    <t>MoU accusant un retard d'execution. Environs $30 800 de Balance dont $ 4 100 detenu par le partenaire</t>
  </si>
  <si>
    <t>Fin du MoU avec un solde de $ 1 100 don’t $ 789 sont detenus par le partenaire et doivent etre reverser dans les comptes du PAM</t>
  </si>
  <si>
    <t xml:space="preserve"> Original Amount CFA</t>
  </si>
  <si>
    <t>Avance num 1 FCFA</t>
  </si>
  <si>
    <t>Avance num 2 F CFA</t>
  </si>
  <si>
    <t>Avance num 3 F CFA</t>
  </si>
  <si>
    <t>Avance num 4 F CFA</t>
  </si>
  <si>
    <t>Avance num 5 F CFA</t>
  </si>
  <si>
    <t>Facture num 1 justifier FCFA</t>
  </si>
  <si>
    <t>Facture num 2  justifier FCFA</t>
  </si>
  <si>
    <t>Facture num 3 justifier FCFA</t>
  </si>
  <si>
    <t>Facture num 4 justifier FCFA</t>
  </si>
  <si>
    <t>Recapitaluatif Avance</t>
  </si>
  <si>
    <t>Recapitulatif Facture justifiee</t>
  </si>
  <si>
    <t>Solde MoU/ Montant restant a consommer</t>
  </si>
  <si>
    <t>Solde Avance chez le partenaire non justifier</t>
  </si>
  <si>
    <t>Avance num 1 $</t>
  </si>
  <si>
    <t>Avance num 2 $</t>
  </si>
  <si>
    <t>Avance num 3 $</t>
  </si>
  <si>
    <t>Facture num 1 justifier $</t>
  </si>
  <si>
    <t>Facture num 2  justifier $</t>
  </si>
  <si>
    <t>Facture num 3 justifier $</t>
  </si>
  <si>
    <t>Balance Partenaire</t>
  </si>
  <si>
    <t>Rate</t>
  </si>
  <si>
    <t>N°</t>
  </si>
  <si>
    <t>Activites MoU SE-CNSA</t>
  </si>
  <si>
    <t>Statut</t>
  </si>
  <si>
    <t>Cout CFA</t>
  </si>
  <si>
    <t>Depenser</t>
  </si>
  <si>
    <t>Montant MoU</t>
  </si>
  <si>
    <t xml:space="preserve">Avance </t>
  </si>
  <si>
    <t xml:space="preserve"> Facture soumise</t>
  </si>
  <si>
    <t>Elaboration du rapport d'évaluation à mi-parcours de la PNSAN</t>
  </si>
  <si>
    <t>Deja Realiser</t>
  </si>
  <si>
    <t>Atelier de finalisation du rapport d'évaluation à mi-parcours de la PNSAN</t>
  </si>
  <si>
    <t>Planifier</t>
  </si>
  <si>
    <t>Actualiser le PA-PNSAN 2024-2026</t>
  </si>
  <si>
    <t>Elaborer la situation de référence des ménages bénéficiaires du panier de résilience en 2024</t>
  </si>
  <si>
    <t>Former les cadres sur l'outil RIMA II</t>
  </si>
  <si>
    <t>Former les cadres sur le logiciel STATA</t>
  </si>
  <si>
    <t>Mission de suivi de la mise en œuvre des activités de distribution des vivres PAM auprès des bénéficiaires hôtes/PDI (effet 3) du PSP</t>
  </si>
  <si>
    <t>Pas encore Planifier</t>
  </si>
  <si>
    <t>Mission de suivi de la mise en œuvre des activités de distribution des vivres PAM auprès des bénéficiaires hôtes/PDI (effet 1) du PSP</t>
  </si>
  <si>
    <t>Formation des acteurs sur les bonnes pratiques de gestion des récoltes et de post-récoltes et les dangers liés à l'aflatoxine</t>
  </si>
  <si>
    <t>Formation des cadres du SE-CNSA sur le Logiciel TOMPRO et le renseignement du logiciel de budget programme</t>
  </si>
  <si>
    <t>Activites Restantes MoU</t>
  </si>
  <si>
    <t>Montant</t>
  </si>
  <si>
    <t xml:space="preserve">Engagement / Accept </t>
  </si>
  <si>
    <t xml:space="preserve">         2,973,830 </t>
  </si>
  <si>
    <t>Deja engagé / Accept</t>
  </si>
  <si>
    <t xml:space="preserve">         2,027,500 </t>
  </si>
  <si>
    <t xml:space="preserve">Non engagé / Pause </t>
  </si>
  <si>
    <t xml:space="preserve">         1,975,000 </t>
  </si>
  <si>
    <t xml:space="preserve">         2,356,140 </t>
  </si>
  <si>
    <t xml:space="preserve">         2,325,090 </t>
  </si>
  <si>
    <t xml:space="preserve">         3,872,120 </t>
  </si>
  <si>
    <t xml:space="preserve">         2,425,000 </t>
  </si>
  <si>
    <t>Achieved</t>
  </si>
  <si>
    <t>Canceled</t>
  </si>
  <si>
    <t>Planed</t>
  </si>
  <si>
    <t xml:space="preserve">MoU executer a 100 %. Le reliquat reverser pour augmenter le FR qui sera utiliser pour le deployement du ST RSU </t>
  </si>
  <si>
    <t>MoU executer a 70 %. Le reliquat reverser au Procurment pour l'acquisition de Motos en accord avec le partenaire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</si>
</sst>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 &quot;* #,##0.00&quot; &quot;;&quot; &quot;* &quot;(&quot;#,##0.00&quot;)&quot;;&quot; &quot;* &quot;-&quot;#&quot; &quot;;&quot; &quot;@&quot; &quot;"/>
    <numFmt numFmtId="165" formatCode="_-* #,##0_-;\-* #,##0_-;_-* &quot;-&quot;??_-;_-@_-"/>
    <numFmt numFmtId="166" formatCode="_([$$-409]* #,##0.00_);_([$$-409]* \(#,##0.00\);_([$$-409]* &quot;-&quot;??_);_(@_)"/>
  </numFmts>
  <fonts count="16" x14ac:knownFonts="1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2"/>
      <color rgb="FF000000"/>
      <name val="Times New Roman"/>
      <family val="1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Aptos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b/>
      <sz val="11"/>
      <name val="Aptos Narrow"/>
      <family val="2"/>
    </font>
    <font>
      <b/>
      <sz val="11"/>
      <color theme="2"/>
      <name val="Aptos Narrow"/>
      <family val="2"/>
    </font>
    <font>
      <sz val="10"/>
      <color rgb="FF000000"/>
      <name val="Aptos Narrow"/>
      <family val="2"/>
    </font>
    <font>
      <sz val="11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04861"/>
        <bgColor rgb="FF104861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rgb="FF104861"/>
      </patternFill>
    </fill>
    <fill>
      <patternFill patternType="solid">
        <fgColor theme="3" tint="0.89999084444715716"/>
        <bgColor rgb="FF10486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10486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10486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7">
    <xf numFmtId="0" fontId="0" fillId="0" borderId="0" xfId="0"/>
    <xf numFmtId="4" fontId="3" fillId="2" borderId="1" xfId="0" applyNumberFormat="1" applyFont="1" applyFill="1" applyBorder="1"/>
    <xf numFmtId="4" fontId="4" fillId="2" borderId="1" xfId="0" applyNumberFormat="1" applyFont="1" applyFill="1" applyBorder="1"/>
    <xf numFmtId="0" fontId="0" fillId="0" borderId="1" xfId="0" applyBorder="1"/>
    <xf numFmtId="164" fontId="2" fillId="0" borderId="1" xfId="1" applyBorder="1"/>
    <xf numFmtId="164" fontId="2" fillId="0" borderId="2" xfId="1" applyFill="1" applyBorder="1"/>
    <xf numFmtId="0" fontId="5" fillId="0" borderId="1" xfId="0" applyFont="1" applyBorder="1"/>
    <xf numFmtId="0" fontId="6" fillId="0" borderId="0" xfId="0" applyFont="1" applyAlignment="1">
      <alignment horizontal="left" vertical="center" indent="6"/>
    </xf>
    <xf numFmtId="4" fontId="0" fillId="0" borderId="1" xfId="0" applyNumberFormat="1" applyBorder="1"/>
    <xf numFmtId="4" fontId="0" fillId="0" borderId="0" xfId="0" applyNumberFormat="1"/>
    <xf numFmtId="164" fontId="2" fillId="0" borderId="0" xfId="1"/>
    <xf numFmtId="9" fontId="0" fillId="0" borderId="0" xfId="0" applyNumberFormat="1"/>
    <xf numFmtId="0" fontId="8" fillId="0" borderId="0" xfId="0" applyFont="1"/>
    <xf numFmtId="10" fontId="2" fillId="0" borderId="0" xfId="2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9" fontId="2" fillId="0" borderId="0" xfId="2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7" borderId="6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4" fontId="12" fillId="9" borderId="8" xfId="0" applyNumberFormat="1" applyFont="1" applyFill="1" applyBorder="1" applyAlignment="1">
      <alignment horizontal="center" vertical="center" wrapText="1"/>
    </xf>
    <xf numFmtId="4" fontId="12" fillId="10" borderId="8" xfId="0" applyNumberFormat="1" applyFont="1" applyFill="1" applyBorder="1" applyAlignment="1">
      <alignment horizontal="center" vertical="center" wrapText="1"/>
    </xf>
    <xf numFmtId="4" fontId="12" fillId="12" borderId="8" xfId="0" applyNumberFormat="1" applyFont="1" applyFill="1" applyBorder="1" applyAlignment="1">
      <alignment horizontal="center" vertical="center" wrapText="1"/>
    </xf>
    <xf numFmtId="4" fontId="12" fillId="14" borderId="8" xfId="0" applyNumberFormat="1" applyFont="1" applyFill="1" applyBorder="1" applyAlignment="1">
      <alignment horizontal="center" vertical="center" wrapText="1"/>
    </xf>
    <xf numFmtId="164" fontId="2" fillId="0" borderId="8" xfId="1" applyBorder="1"/>
    <xf numFmtId="164" fontId="0" fillId="11" borderId="8" xfId="1" applyFont="1" applyFill="1" applyBorder="1"/>
    <xf numFmtId="164" fontId="0" fillId="13" borderId="8" xfId="1" applyFont="1" applyFill="1" applyBorder="1"/>
    <xf numFmtId="164" fontId="0" fillId="15" borderId="8" xfId="1" applyFont="1" applyFill="1" applyBorder="1"/>
    <xf numFmtId="4" fontId="12" fillId="9" borderId="8" xfId="0" applyNumberFormat="1" applyFont="1" applyFill="1" applyBorder="1"/>
    <xf numFmtId="164" fontId="13" fillId="17" borderId="8" xfId="1" applyFont="1" applyFill="1" applyBorder="1"/>
    <xf numFmtId="164" fontId="13" fillId="18" borderId="8" xfId="1" applyFont="1" applyFill="1" applyBorder="1"/>
    <xf numFmtId="0" fontId="0" fillId="0" borderId="8" xfId="0" applyBorder="1" applyAlignment="1">
      <alignment wrapText="1"/>
    </xf>
    <xf numFmtId="4" fontId="12" fillId="9" borderId="8" xfId="0" applyNumberFormat="1" applyFont="1" applyFill="1" applyBorder="1" applyAlignment="1">
      <alignment wrapText="1"/>
    </xf>
    <xf numFmtId="43" fontId="0" fillId="0" borderId="0" xfId="0" applyNumberFormat="1"/>
    <xf numFmtId="164" fontId="9" fillId="11" borderId="8" xfId="1" applyFont="1" applyFill="1" applyBorder="1"/>
    <xf numFmtId="164" fontId="9" fillId="13" borderId="8" xfId="1" applyFont="1" applyFill="1" applyBorder="1"/>
    <xf numFmtId="164" fontId="9" fillId="15" borderId="8" xfId="1" applyFont="1" applyFill="1" applyBorder="1"/>
    <xf numFmtId="0" fontId="13" fillId="17" borderId="8" xfId="0" applyFont="1" applyFill="1" applyBorder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 wrapText="1"/>
    </xf>
    <xf numFmtId="0" fontId="13" fillId="16" borderId="8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43" fontId="13" fillId="17" borderId="8" xfId="0" applyNumberFormat="1" applyFont="1" applyFill="1" applyBorder="1"/>
    <xf numFmtId="43" fontId="13" fillId="18" borderId="8" xfId="0" applyNumberFormat="1" applyFont="1" applyFill="1" applyBorder="1"/>
    <xf numFmtId="43" fontId="13" fillId="16" borderId="8" xfId="0" applyNumberFormat="1" applyFont="1" applyFill="1" applyBorder="1"/>
    <xf numFmtId="43" fontId="13" fillId="19" borderId="8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2" fillId="0" borderId="8" xfId="1" applyBorder="1" applyAlignment="1"/>
    <xf numFmtId="164" fontId="0" fillId="11" borderId="8" xfId="1" applyFont="1" applyFill="1" applyBorder="1" applyAlignment="1"/>
    <xf numFmtId="164" fontId="0" fillId="13" borderId="8" xfId="1" applyFont="1" applyFill="1" applyBorder="1" applyAlignment="1"/>
    <xf numFmtId="164" fontId="0" fillId="15" borderId="8" xfId="1" applyFont="1" applyFill="1" applyBorder="1" applyAlignment="1"/>
    <xf numFmtId="4" fontId="4" fillId="2" borderId="9" xfId="0" applyNumberFormat="1" applyFont="1" applyFill="1" applyBorder="1" applyAlignment="1">
      <alignment horizontal="center" vertical="center" wrapText="1"/>
    </xf>
    <xf numFmtId="4" fontId="4" fillId="2" borderId="11" xfId="0" applyNumberFormat="1" applyFont="1" applyFill="1" applyBorder="1" applyAlignment="1">
      <alignment horizontal="center" vertical="center" wrapText="1"/>
    </xf>
    <xf numFmtId="4" fontId="4" fillId="2" borderId="12" xfId="0" applyNumberFormat="1" applyFont="1" applyFill="1" applyBorder="1" applyAlignment="1">
      <alignment horizontal="center" vertical="center" wrapText="1"/>
    </xf>
    <xf numFmtId="164" fontId="14" fillId="0" borderId="8" xfId="1" applyFont="1" applyBorder="1" applyAlignment="1">
      <alignment horizontal="center" vertical="center"/>
    </xf>
    <xf numFmtId="164" fontId="14" fillId="0" borderId="10" xfId="1" applyFont="1" applyBorder="1" applyAlignment="1">
      <alignment horizontal="center" vertical="center"/>
    </xf>
    <xf numFmtId="164" fontId="14" fillId="0" borderId="8" xfId="1" applyFont="1" applyBorder="1" applyAlignment="1"/>
    <xf numFmtId="164" fontId="14" fillId="0" borderId="10" xfId="1" applyFont="1" applyBorder="1" applyAlignment="1"/>
    <xf numFmtId="0" fontId="0" fillId="0" borderId="8" xfId="0" applyBorder="1" applyAlignment="1">
      <alignment horizontal="left" vertical="center" wrapText="1"/>
    </xf>
    <xf numFmtId="9" fontId="0" fillId="0" borderId="0" xfId="2" applyFont="1"/>
    <xf numFmtId="164" fontId="0" fillId="0" borderId="0" xfId="1" applyFont="1" applyAlignment="1">
      <alignment wrapText="1"/>
    </xf>
    <xf numFmtId="164" fontId="0" fillId="4" borderId="1" xfId="1" applyFont="1" applyFill="1" applyBorder="1" applyAlignment="1">
      <alignment wrapText="1"/>
    </xf>
    <xf numFmtId="164" fontId="0" fillId="5" borderId="1" xfId="1" applyFont="1" applyFill="1" applyBorder="1" applyAlignment="1">
      <alignment wrapText="1"/>
    </xf>
    <xf numFmtId="164" fontId="0" fillId="6" borderId="1" xfId="1" applyFont="1" applyFill="1" applyBorder="1" applyAlignment="1">
      <alignment wrapText="1"/>
    </xf>
    <xf numFmtId="43" fontId="0" fillId="0" borderId="0" xfId="2" applyNumberFormat="1" applyFont="1"/>
    <xf numFmtId="165" fontId="0" fillId="0" borderId="0" xfId="0" applyNumberFormat="1"/>
    <xf numFmtId="165" fontId="15" fillId="20" borderId="8" xfId="1" applyNumberFormat="1" applyFont="1" applyFill="1" applyBorder="1" applyAlignment="1">
      <alignment vertical="center" wrapText="1"/>
    </xf>
    <xf numFmtId="166" fontId="15" fillId="20" borderId="8" xfId="1" applyNumberFormat="1" applyFont="1" applyFill="1" applyBorder="1" applyAlignment="1">
      <alignment vertical="center" wrapText="1"/>
    </xf>
    <xf numFmtId="165" fontId="1" fillId="20" borderId="8" xfId="1" applyNumberFormat="1" applyFont="1" applyFill="1" applyBorder="1" applyAlignment="1">
      <alignment vertical="center" wrapText="1"/>
    </xf>
    <xf numFmtId="0" fontId="0" fillId="13" borderId="8" xfId="0" applyFill="1" applyBorder="1"/>
    <xf numFmtId="0" fontId="0" fillId="13" borderId="8" xfId="0" applyFill="1" applyBorder="1" applyAlignment="1">
      <alignment wrapText="1"/>
    </xf>
    <xf numFmtId="9" fontId="14" fillId="0" borderId="8" xfId="2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/>
    </xf>
  </cellXfs>
  <cellStyles count="3">
    <cellStyle name="Comma" xfId="1" builtinId="3" customBuiltin="1"/>
    <cellStyle name="Normal" xfId="0" builtinId="0" customBuiltin="1"/>
    <cellStyle name="Percent" xfId="2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C54C-04CD-4E51-8F1D-882F612E5A17}">
  <dimension ref="B1:K21"/>
  <sheetViews>
    <sheetView workbookViewId="0">
      <selection activeCell="C3" sqref="C3"/>
    </sheetView>
  </sheetViews>
  <sheetFormatPr defaultRowHeight="14.5" x14ac:dyDescent="0.35"/>
  <cols>
    <col min="1" max="1" width="8.7265625" customWidth="1"/>
    <col min="2" max="2" width="13.1796875" customWidth="1"/>
    <col min="3" max="3" width="20.453125" customWidth="1"/>
    <col min="4" max="4" width="14.453125" customWidth="1"/>
    <col min="5" max="5" width="18.54296875" customWidth="1"/>
    <col min="6" max="6" width="17" customWidth="1"/>
    <col min="7" max="7" width="8.7265625" customWidth="1"/>
    <col min="8" max="8" width="13.54296875" customWidth="1"/>
    <col min="9" max="9" width="14" customWidth="1"/>
    <col min="10" max="10" width="8.7265625" customWidth="1"/>
    <col min="11" max="11" width="10.1796875" bestFit="1" customWidth="1"/>
    <col min="12" max="12" width="8.7265625" customWidth="1"/>
  </cols>
  <sheetData>
    <row r="1" spans="2:11" x14ac:dyDescent="0.35">
      <c r="C1" t="s">
        <v>0</v>
      </c>
    </row>
    <row r="3" spans="2:11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11" x14ac:dyDescent="0.35">
      <c r="B4" s="3">
        <v>4300107891</v>
      </c>
      <c r="C4" s="3" t="s">
        <v>0</v>
      </c>
      <c r="D4" s="4">
        <v>42313.26</v>
      </c>
      <c r="E4" s="4">
        <v>-24886.83</v>
      </c>
      <c r="F4" s="4">
        <v>17426.43</v>
      </c>
      <c r="H4" s="5">
        <v>15470700</v>
      </c>
    </row>
    <row r="5" spans="2:11" x14ac:dyDescent="0.35">
      <c r="B5" s="3">
        <v>4300107368</v>
      </c>
      <c r="C5" s="3" t="s">
        <v>6</v>
      </c>
      <c r="D5" s="4">
        <v>154906.96</v>
      </c>
      <c r="E5" s="4">
        <v>-48174.78</v>
      </c>
      <c r="F5" s="4">
        <v>106732.18</v>
      </c>
    </row>
    <row r="6" spans="2:11" ht="15.5" x14ac:dyDescent="0.35">
      <c r="B6" s="6">
        <v>4300107146</v>
      </c>
      <c r="C6" s="3" t="s">
        <v>7</v>
      </c>
      <c r="D6" s="4">
        <v>61713.120000000003</v>
      </c>
      <c r="E6" s="4">
        <v>-15811.17</v>
      </c>
      <c r="F6" s="4">
        <v>45901.95</v>
      </c>
      <c r="I6" s="7" t="s">
        <v>8</v>
      </c>
    </row>
    <row r="7" spans="2:11" ht="15.5" x14ac:dyDescent="0.35">
      <c r="B7" s="6">
        <v>4300107145</v>
      </c>
      <c r="C7" s="3" t="s">
        <v>9</v>
      </c>
      <c r="D7" s="4">
        <v>28750.27</v>
      </c>
      <c r="E7" s="4">
        <v>-14761.23</v>
      </c>
      <c r="F7" s="4">
        <v>13989.04</v>
      </c>
      <c r="I7" s="7" t="s">
        <v>10</v>
      </c>
    </row>
    <row r="8" spans="2:11" ht="15.5" x14ac:dyDescent="0.35">
      <c r="B8" s="6">
        <v>4300107145</v>
      </c>
      <c r="C8" s="3" t="s">
        <v>11</v>
      </c>
      <c r="D8" s="8">
        <v>13075.96</v>
      </c>
      <c r="E8" s="8">
        <v>0</v>
      </c>
      <c r="F8" s="8">
        <v>13075.96</v>
      </c>
      <c r="I8" s="7" t="s">
        <v>12</v>
      </c>
    </row>
    <row r="9" spans="2:11" x14ac:dyDescent="0.35">
      <c r="B9" s="86" t="s">
        <v>13</v>
      </c>
      <c r="C9" s="86"/>
      <c r="D9" s="2">
        <f>SUM(D4:D8)</f>
        <v>300759.57</v>
      </c>
      <c r="E9" s="2">
        <f>SUM(E4:E8)</f>
        <v>-103634.01</v>
      </c>
      <c r="F9" s="2">
        <f>SUM(F4:F8)</f>
        <v>197125.56</v>
      </c>
      <c r="I9" s="7" t="s">
        <v>14</v>
      </c>
    </row>
    <row r="10" spans="2:11" x14ac:dyDescent="0.35">
      <c r="I10" s="7"/>
    </row>
    <row r="11" spans="2:11" x14ac:dyDescent="0.35">
      <c r="F11" s="9"/>
      <c r="I11" s="7"/>
    </row>
    <row r="14" spans="2:11" x14ac:dyDescent="0.35">
      <c r="H14" s="10">
        <v>15811.17</v>
      </c>
      <c r="I14" s="10"/>
      <c r="J14" s="10"/>
      <c r="K14" s="10"/>
    </row>
    <row r="15" spans="2:11" x14ac:dyDescent="0.35">
      <c r="E15">
        <v>12000</v>
      </c>
      <c r="H15" s="10">
        <v>13989</v>
      </c>
      <c r="I15" s="10"/>
      <c r="J15" s="10"/>
      <c r="K15" s="10"/>
    </row>
    <row r="16" spans="2:11" x14ac:dyDescent="0.35">
      <c r="C16">
        <v>143000</v>
      </c>
      <c r="E16">
        <v>600</v>
      </c>
      <c r="H16" s="10">
        <v>12629</v>
      </c>
      <c r="I16" s="10"/>
      <c r="J16" s="10"/>
      <c r="K16" s="10"/>
    </row>
    <row r="17" spans="3:11" x14ac:dyDescent="0.35">
      <c r="C17" s="11">
        <v>0.05</v>
      </c>
      <c r="H17" s="10">
        <v>47632</v>
      </c>
      <c r="I17" s="10"/>
      <c r="J17" s="10"/>
      <c r="K17" s="10">
        <f>H16/600</f>
        <v>21.048333333333332</v>
      </c>
    </row>
    <row r="18" spans="3:11" x14ac:dyDescent="0.35">
      <c r="E18" s="10">
        <f>E15*E16</f>
        <v>7200000</v>
      </c>
      <c r="H18" s="10">
        <f>SUM(H14:H17)</f>
        <v>90061.17</v>
      </c>
      <c r="I18" s="10"/>
      <c r="J18" s="10"/>
      <c r="K18" s="10"/>
    </row>
    <row r="19" spans="3:11" x14ac:dyDescent="0.35">
      <c r="C19">
        <f>C16*C17</f>
        <v>7150</v>
      </c>
      <c r="F19" s="12">
        <v>69550</v>
      </c>
      <c r="H19" s="10"/>
      <c r="I19" s="10"/>
      <c r="J19" s="10"/>
      <c r="K19" s="10"/>
    </row>
    <row r="20" spans="3:11" x14ac:dyDescent="0.35">
      <c r="C20" s="10">
        <f>C19*600</f>
        <v>4290000</v>
      </c>
      <c r="H20" s="13">
        <f>F19/H18</f>
        <v>0.77225290322122175</v>
      </c>
      <c r="I20" s="10"/>
      <c r="J20" s="10"/>
      <c r="K20" s="10"/>
    </row>
    <row r="21" spans="3:11" x14ac:dyDescent="0.35">
      <c r="H21" s="10"/>
      <c r="I21" s="10"/>
      <c r="J21" s="10"/>
      <c r="K21" s="10"/>
    </row>
  </sheetData>
  <mergeCells count="1">
    <mergeCell ref="B9:C9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A196-8F03-4878-BA86-422DA962FD67}">
  <dimension ref="B3:H17"/>
  <sheetViews>
    <sheetView topLeftCell="A4" workbookViewId="0">
      <selection activeCell="D6" sqref="D6"/>
    </sheetView>
  </sheetViews>
  <sheetFormatPr defaultRowHeight="14.5" x14ac:dyDescent="0.35"/>
  <cols>
    <col min="2" max="2" width="13.26953125" style="15" customWidth="1"/>
    <col min="3" max="3" width="10.1796875" customWidth="1"/>
    <col min="4" max="4" width="11.1796875" customWidth="1"/>
    <col min="5" max="5" width="10.81640625" customWidth="1"/>
    <col min="6" max="6" width="18.81640625" customWidth="1"/>
    <col min="7" max="7" width="13.1796875" customWidth="1"/>
    <col min="8" max="8" width="33" customWidth="1"/>
  </cols>
  <sheetData>
    <row r="3" spans="2:8" x14ac:dyDescent="0.35">
      <c r="H3" s="47"/>
    </row>
    <row r="4" spans="2:8" ht="43.5" x14ac:dyDescent="0.35">
      <c r="B4" s="59" t="s">
        <v>2</v>
      </c>
      <c r="C4" s="59" t="s">
        <v>15</v>
      </c>
      <c r="D4" s="59" t="s">
        <v>16</v>
      </c>
      <c r="E4" s="59" t="s">
        <v>17</v>
      </c>
      <c r="F4" s="59" t="s">
        <v>18</v>
      </c>
      <c r="G4" s="59" t="s">
        <v>19</v>
      </c>
      <c r="H4" s="65" t="s">
        <v>20</v>
      </c>
    </row>
    <row r="5" spans="2:8" ht="36.65" customHeight="1" x14ac:dyDescent="0.35">
      <c r="B5" s="60" t="s">
        <v>0</v>
      </c>
      <c r="C5" s="68">
        <v>42313.26</v>
      </c>
      <c r="D5" s="68">
        <v>37269.557996660718</v>
      </c>
      <c r="E5" s="68">
        <v>5645.5208556201533</v>
      </c>
      <c r="F5" s="69">
        <v>38115.898700239275</v>
      </c>
      <c r="G5" s="69">
        <v>846.34070357855933</v>
      </c>
      <c r="H5" s="60" t="s">
        <v>21</v>
      </c>
    </row>
    <row r="6" spans="2:8" ht="30" customHeight="1" x14ac:dyDescent="0.35">
      <c r="B6" s="60" t="s">
        <v>6</v>
      </c>
      <c r="C6" s="70">
        <v>154906.96</v>
      </c>
      <c r="D6" s="70">
        <v>142530.68408556664</v>
      </c>
      <c r="E6" s="70">
        <v>14015.324389608093</v>
      </c>
      <c r="F6" s="71">
        <v>156545.67563951967</v>
      </c>
      <c r="G6" s="71">
        <v>14014.991553953028</v>
      </c>
      <c r="H6" s="45" t="s">
        <v>22</v>
      </c>
    </row>
    <row r="7" spans="2:8" ht="45" customHeight="1" x14ac:dyDescent="0.35">
      <c r="B7" s="60" t="s">
        <v>7</v>
      </c>
      <c r="C7" s="70">
        <v>61713.120000000003</v>
      </c>
      <c r="D7" s="70">
        <v>29544.491389027153</v>
      </c>
      <c r="E7" s="70">
        <v>30832.989576433305</v>
      </c>
      <c r="F7" s="70">
        <v>34169.578914901926</v>
      </c>
      <c r="G7" s="70">
        <v>4625.0875258747719</v>
      </c>
      <c r="H7" s="45" t="s">
        <v>23</v>
      </c>
    </row>
    <row r="8" spans="2:8" ht="55.5" customHeight="1" x14ac:dyDescent="0.35">
      <c r="B8" s="60" t="s">
        <v>9</v>
      </c>
      <c r="C8" s="70">
        <v>41826.229999999996</v>
      </c>
      <c r="D8" s="70">
        <v>39754.194108739881</v>
      </c>
      <c r="E8" s="70">
        <v>1166.807598344089</v>
      </c>
      <c r="F8" s="70">
        <v>40543.657440890922</v>
      </c>
      <c r="G8" s="70">
        <v>789.46333215104403</v>
      </c>
      <c r="H8" s="72" t="s">
        <v>24</v>
      </c>
    </row>
    <row r="9" spans="2:8" ht="23.5" customHeight="1" x14ac:dyDescent="0.35">
      <c r="B9" s="66" t="s">
        <v>13</v>
      </c>
      <c r="C9" s="66">
        <f>SUM(C5:C8)</f>
        <v>300759.57</v>
      </c>
      <c r="D9" s="66">
        <f>SUM(D5:D8)</f>
        <v>249098.9275799944</v>
      </c>
      <c r="E9" s="66">
        <f>SUM(E5:E8)</f>
        <v>51660.642420005643</v>
      </c>
      <c r="F9" s="66">
        <f>SUM(F5:F8)</f>
        <v>269374.8106955518</v>
      </c>
      <c r="G9" s="67">
        <f>SUM(G5:G8)</f>
        <v>20275.883115557404</v>
      </c>
      <c r="H9" s="67"/>
    </row>
    <row r="13" spans="2:8" hidden="1" x14ac:dyDescent="0.35"/>
    <row r="14" spans="2:8" hidden="1" x14ac:dyDescent="0.35"/>
    <row r="15" spans="2:8" hidden="1" x14ac:dyDescent="0.35"/>
    <row r="16" spans="2:8" hidden="1" x14ac:dyDescent="0.35"/>
    <row r="17" spans="5:6" x14ac:dyDescent="0.35">
      <c r="E17" s="73"/>
      <c r="F17" s="7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4C3B-375F-483F-9761-C44541B01A86}">
  <dimension ref="B2:R42"/>
  <sheetViews>
    <sheetView tabSelected="1" workbookViewId="0">
      <selection activeCell="A4" sqref="A4:XFD4"/>
    </sheetView>
  </sheetViews>
  <sheetFormatPr defaultRowHeight="14.5" x14ac:dyDescent="0.35"/>
  <cols>
    <col min="1" max="1" width="10.1796875" customWidth="1"/>
    <col min="2" max="2" width="13.26953125" style="15" customWidth="1"/>
    <col min="3" max="3" width="15.453125" customWidth="1"/>
    <col min="4" max="4" width="14.453125" customWidth="1"/>
    <col min="5" max="5" width="13.54296875" customWidth="1"/>
    <col min="6" max="6" width="18.81640625" customWidth="1"/>
    <col min="7" max="7" width="13.1796875" customWidth="1"/>
    <col min="8" max="8" width="33" customWidth="1"/>
    <col min="9" max="9" width="16" customWidth="1"/>
    <col min="10" max="10" width="18.26953125" customWidth="1"/>
    <col min="11" max="11" width="18.54296875" customWidth="1"/>
    <col min="12" max="12" width="13.7265625" customWidth="1"/>
    <col min="13" max="13" width="15.1796875" customWidth="1"/>
    <col min="14" max="14" width="15.26953125" customWidth="1"/>
    <col min="15" max="15" width="14.81640625" customWidth="1"/>
    <col min="16" max="16" width="15.7265625" customWidth="1"/>
    <col min="17" max="17" width="11.1796875" customWidth="1"/>
    <col min="18" max="18" width="11.1796875" bestFit="1" customWidth="1"/>
  </cols>
  <sheetData>
    <row r="2" spans="2:18" s="14" customFormat="1" ht="48" customHeight="1" x14ac:dyDescent="0.35">
      <c r="B2" s="34" t="s">
        <v>2</v>
      </c>
      <c r="C2" s="34" t="s">
        <v>25</v>
      </c>
      <c r="D2" s="35" t="s">
        <v>26</v>
      </c>
      <c r="E2" s="36" t="s">
        <v>27</v>
      </c>
      <c r="F2" s="37" t="s">
        <v>28</v>
      </c>
      <c r="G2" s="37" t="s">
        <v>29</v>
      </c>
      <c r="H2" s="37" t="s">
        <v>30</v>
      </c>
      <c r="I2" s="35" t="s">
        <v>31</v>
      </c>
      <c r="J2" s="36" t="s">
        <v>32</v>
      </c>
      <c r="K2" s="37" t="s">
        <v>33</v>
      </c>
      <c r="L2" s="37" t="s">
        <v>34</v>
      </c>
      <c r="M2" s="51" t="s">
        <v>35</v>
      </c>
      <c r="N2" s="52" t="s">
        <v>36</v>
      </c>
      <c r="O2" s="53" t="s">
        <v>37</v>
      </c>
      <c r="P2" s="54" t="s">
        <v>38</v>
      </c>
    </row>
    <row r="3" spans="2:18" x14ac:dyDescent="0.35">
      <c r="B3" s="45" t="s">
        <v>0</v>
      </c>
      <c r="C3" s="38">
        <v>26303300</v>
      </c>
      <c r="D3" s="39">
        <v>7891110</v>
      </c>
      <c r="E3" s="40">
        <v>15470700</v>
      </c>
      <c r="F3" s="41">
        <v>0</v>
      </c>
      <c r="G3" s="41">
        <v>0</v>
      </c>
      <c r="H3" s="41">
        <v>0</v>
      </c>
      <c r="I3" s="39">
        <v>15470700</v>
      </c>
      <c r="J3" s="40">
        <v>7372375</v>
      </c>
      <c r="K3" s="41">
        <v>0</v>
      </c>
      <c r="L3" s="41">
        <v>0</v>
      </c>
      <c r="M3" s="55">
        <f t="shared" ref="M3:M5" si="0">D3+E3+F3+H3+G3</f>
        <v>23361810</v>
      </c>
      <c r="N3" s="56">
        <f>I3+J3+K3+L3</f>
        <v>22843075</v>
      </c>
      <c r="O3" s="57">
        <f>IF(N3=0," ",C3-N3)</f>
        <v>3460225</v>
      </c>
      <c r="P3" s="58">
        <f t="shared" ref="P3:P4" si="1">M3-N3</f>
        <v>518735</v>
      </c>
    </row>
    <row r="4" spans="2:18" x14ac:dyDescent="0.35">
      <c r="B4" s="45" t="s">
        <v>6</v>
      </c>
      <c r="C4" s="38">
        <v>95949413</v>
      </c>
      <c r="D4" s="39">
        <v>28784824</v>
      </c>
      <c r="E4" s="40">
        <v>593000</v>
      </c>
      <c r="F4" s="41">
        <f>D4</f>
        <v>28784824</v>
      </c>
      <c r="G4" s="41">
        <v>8590000</v>
      </c>
      <c r="H4" s="41">
        <f>K4-F4</f>
        <v>29196561</v>
      </c>
      <c r="I4" s="39">
        <v>28180224</v>
      </c>
      <c r="J4" s="40">
        <v>1197600</v>
      </c>
      <c r="K4" s="41">
        <v>57981385</v>
      </c>
      <c r="L4" s="41"/>
      <c r="M4" s="55">
        <f>D4+E4+F4+H4+G4</f>
        <v>95949209</v>
      </c>
      <c r="N4" s="56">
        <f>I4+J4+K4+L4</f>
        <v>87359209</v>
      </c>
      <c r="O4" s="57">
        <f>IF(N4=0," ",C4-N4)</f>
        <v>8590204</v>
      </c>
      <c r="P4" s="58">
        <f t="shared" si="1"/>
        <v>8590000</v>
      </c>
    </row>
    <row r="5" spans="2:18" x14ac:dyDescent="0.35">
      <c r="B5" s="45" t="s">
        <v>7</v>
      </c>
      <c r="C5" s="38">
        <v>37006270</v>
      </c>
      <c r="D5" s="39">
        <v>11101881</v>
      </c>
      <c r="E5" s="40">
        <v>9481170</v>
      </c>
      <c r="F5" s="41">
        <v>0</v>
      </c>
      <c r="G5" s="41">
        <v>0</v>
      </c>
      <c r="H5" s="41">
        <v>0</v>
      </c>
      <c r="I5" s="39">
        <v>9481170</v>
      </c>
      <c r="J5" s="40">
        <v>8627095</v>
      </c>
      <c r="K5" s="41">
        <v>2474786</v>
      </c>
      <c r="L5" s="41"/>
      <c r="M5" s="55">
        <f t="shared" si="0"/>
        <v>20583051</v>
      </c>
      <c r="N5" s="56">
        <f>I5+J5+K5+L5</f>
        <v>20583051</v>
      </c>
      <c r="O5" s="57">
        <f>IF(N5=0," ",C5-N5)</f>
        <v>16423219</v>
      </c>
      <c r="P5" s="58">
        <f>M5-N5</f>
        <v>0</v>
      </c>
    </row>
    <row r="6" spans="2:18" x14ac:dyDescent="0.35">
      <c r="B6" s="45" t="s">
        <v>9</v>
      </c>
      <c r="C6" s="38">
        <v>25081100</v>
      </c>
      <c r="D6" s="39">
        <v>9082850</v>
      </c>
      <c r="E6" s="40">
        <v>7925970</v>
      </c>
      <c r="F6" s="41">
        <v>7841000</v>
      </c>
      <c r="G6" s="41"/>
      <c r="H6" s="41"/>
      <c r="I6" s="39">
        <v>8851570</v>
      </c>
      <c r="J6" s="40">
        <v>7468000</v>
      </c>
      <c r="K6" s="41">
        <v>8046376</v>
      </c>
      <c r="L6" s="41"/>
      <c r="M6" s="55">
        <f>D6+E6+F6+H6+G6</f>
        <v>24849820</v>
      </c>
      <c r="N6" s="56">
        <f t="shared" ref="N6" si="2">I6+J6+K6+L6</f>
        <v>24365946</v>
      </c>
      <c r="O6" s="57">
        <f>IF(N6=0," ",C6-N6)</f>
        <v>715154</v>
      </c>
      <c r="P6" s="58">
        <f t="shared" ref="P6" si="3">M6-N6</f>
        <v>483874</v>
      </c>
    </row>
    <row r="7" spans="2:18" x14ac:dyDescent="0.35">
      <c r="B7" s="46" t="s">
        <v>13</v>
      </c>
      <c r="C7" s="42">
        <f t="shared" ref="C7:P7" si="4">SUM(C3:C6)</f>
        <v>184340083</v>
      </c>
      <c r="D7" s="48">
        <f t="shared" si="4"/>
        <v>56860665</v>
      </c>
      <c r="E7" s="49">
        <f t="shared" si="4"/>
        <v>33470840</v>
      </c>
      <c r="F7" s="50">
        <f t="shared" si="4"/>
        <v>36625824</v>
      </c>
      <c r="G7" s="50"/>
      <c r="H7" s="50"/>
      <c r="I7" s="48">
        <f t="shared" si="4"/>
        <v>61983664</v>
      </c>
      <c r="J7" s="49">
        <f t="shared" si="4"/>
        <v>24665070</v>
      </c>
      <c r="K7" s="50">
        <f t="shared" si="4"/>
        <v>68502547</v>
      </c>
      <c r="L7" s="50"/>
      <c r="M7" s="43">
        <f t="shared" si="4"/>
        <v>164743890</v>
      </c>
      <c r="N7" s="44">
        <f t="shared" si="4"/>
        <v>155151281</v>
      </c>
      <c r="O7" s="57">
        <f t="shared" si="4"/>
        <v>29188802</v>
      </c>
      <c r="P7" s="58">
        <f t="shared" si="4"/>
        <v>9592609</v>
      </c>
      <c r="Q7" s="47"/>
      <c r="R7" s="47"/>
    </row>
    <row r="9" spans="2:18" x14ac:dyDescent="0.35">
      <c r="Q9" s="47"/>
    </row>
    <row r="10" spans="2:18" ht="29" x14ac:dyDescent="0.35">
      <c r="B10" s="59" t="s">
        <v>2</v>
      </c>
      <c r="C10" s="59" t="s">
        <v>15</v>
      </c>
      <c r="D10" s="59" t="s">
        <v>39</v>
      </c>
      <c r="E10" s="59" t="s">
        <v>40</v>
      </c>
      <c r="F10" s="59" t="s">
        <v>41</v>
      </c>
      <c r="G10" s="59" t="s">
        <v>29</v>
      </c>
      <c r="H10" s="59" t="s">
        <v>30</v>
      </c>
      <c r="I10" s="59" t="s">
        <v>42</v>
      </c>
      <c r="J10" s="59" t="s">
        <v>43</v>
      </c>
      <c r="K10" s="59" t="s">
        <v>44</v>
      </c>
      <c r="L10" s="59" t="s">
        <v>34</v>
      </c>
      <c r="M10" s="59" t="s">
        <v>35</v>
      </c>
      <c r="N10" s="59" t="s">
        <v>16</v>
      </c>
      <c r="O10" s="59" t="s">
        <v>17</v>
      </c>
      <c r="P10" s="59" t="s">
        <v>45</v>
      </c>
    </row>
    <row r="11" spans="2:18" x14ac:dyDescent="0.35">
      <c r="B11" s="60" t="s">
        <v>0</v>
      </c>
      <c r="C11" s="61">
        <v>42313.26</v>
      </c>
      <c r="D11" s="62">
        <f>D3/$C$17</f>
        <v>12874.719441363712</v>
      </c>
      <c r="E11" s="63">
        <f>E3/$C$17</f>
        <v>25241.179258875567</v>
      </c>
      <c r="F11" s="64">
        <f t="shared" ref="F11:N11" si="5">F3/$C$17</f>
        <v>0</v>
      </c>
      <c r="G11" s="64">
        <f t="shared" si="5"/>
        <v>0</v>
      </c>
      <c r="H11" s="64">
        <f t="shared" si="5"/>
        <v>0</v>
      </c>
      <c r="I11" s="62">
        <f t="shared" si="5"/>
        <v>25241.179258875567</v>
      </c>
      <c r="J11" s="63">
        <f t="shared" si="5"/>
        <v>12028.378737785153</v>
      </c>
      <c r="K11" s="64">
        <f t="shared" si="5"/>
        <v>0</v>
      </c>
      <c r="L11" s="64">
        <f t="shared" si="5"/>
        <v>0</v>
      </c>
      <c r="M11" s="61">
        <f t="shared" si="5"/>
        <v>38115.898700239275</v>
      </c>
      <c r="N11" s="61">
        <f t="shared" si="5"/>
        <v>37269.557996660718</v>
      </c>
      <c r="O11" s="61">
        <f>O3/$C$17</f>
        <v>5645.5208556201533</v>
      </c>
      <c r="P11" s="61">
        <f>P3/$C$17</f>
        <v>846.34070357855933</v>
      </c>
    </row>
    <row r="12" spans="2:18" x14ac:dyDescent="0.35">
      <c r="B12" s="60" t="s">
        <v>6</v>
      </c>
      <c r="C12" s="61">
        <v>154906.96</v>
      </c>
      <c r="D12" s="62">
        <f t="shared" ref="D12:P14" si="6">D4/$C$17</f>
        <v>46963.802705707152</v>
      </c>
      <c r="E12" s="63">
        <f t="shared" si="6"/>
        <v>967.50756594809616</v>
      </c>
      <c r="F12" s="64">
        <f t="shared" si="6"/>
        <v>46963.802705707152</v>
      </c>
      <c r="G12" s="64">
        <f t="shared" si="6"/>
        <v>14014.991553953028</v>
      </c>
      <c r="H12" s="64">
        <f t="shared" si="6"/>
        <v>47635.57110820424</v>
      </c>
      <c r="I12" s="62">
        <f t="shared" si="6"/>
        <v>45977.369190745565</v>
      </c>
      <c r="J12" s="63">
        <f t="shared" si="6"/>
        <v>1953.9410809096796</v>
      </c>
      <c r="K12" s="64">
        <f t="shared" si="6"/>
        <v>94599.373813911385</v>
      </c>
      <c r="L12" s="64">
        <f t="shared" si="6"/>
        <v>0</v>
      </c>
      <c r="M12" s="61">
        <f t="shared" si="6"/>
        <v>156545.67563951967</v>
      </c>
      <c r="N12" s="61">
        <f t="shared" si="6"/>
        <v>142530.68408556664</v>
      </c>
      <c r="O12" s="61">
        <f t="shared" si="6"/>
        <v>14015.324389608093</v>
      </c>
      <c r="P12" s="61">
        <f>P4/$C$17</f>
        <v>14014.991553953028</v>
      </c>
    </row>
    <row r="13" spans="2:18" x14ac:dyDescent="0.35">
      <c r="B13" s="60" t="s">
        <v>7</v>
      </c>
      <c r="C13" s="61">
        <v>61713.120000000003</v>
      </c>
      <c r="D13" s="62">
        <f t="shared" si="6"/>
        <v>18113.244289638136</v>
      </c>
      <c r="E13" s="63">
        <f t="shared" si="6"/>
        <v>15468.977586914183</v>
      </c>
      <c r="F13" s="64">
        <f t="shared" si="6"/>
        <v>0</v>
      </c>
      <c r="G13" s="64">
        <f t="shared" si="6"/>
        <v>0</v>
      </c>
      <c r="H13" s="64">
        <f t="shared" si="6"/>
        <v>0</v>
      </c>
      <c r="I13" s="62">
        <f t="shared" si="6"/>
        <v>15468.977586914183</v>
      </c>
      <c r="J13" s="63">
        <f t="shared" si="6"/>
        <v>14075.51380211297</v>
      </c>
      <c r="K13" s="64">
        <f t="shared" si="6"/>
        <v>4037.7304875251689</v>
      </c>
      <c r="L13" s="64">
        <f t="shared" si="6"/>
        <v>0</v>
      </c>
      <c r="M13" s="61">
        <f t="shared" si="6"/>
        <v>33582.221876552321</v>
      </c>
      <c r="N13" s="61">
        <f>N5/$C$17</f>
        <v>33582.221876552321</v>
      </c>
      <c r="O13" s="61">
        <f>O5/$C$17</f>
        <v>26795.259088908137</v>
      </c>
      <c r="P13" s="61">
        <f t="shared" si="6"/>
        <v>0</v>
      </c>
    </row>
    <row r="14" spans="2:18" x14ac:dyDescent="0.35">
      <c r="B14" s="60" t="s">
        <v>9</v>
      </c>
      <c r="C14" s="61">
        <v>41826.229999999996</v>
      </c>
      <c r="D14" s="62">
        <f t="shared" si="6"/>
        <v>14819.099654926922</v>
      </c>
      <c r="E14" s="63">
        <f t="shared" si="6"/>
        <v>12931.595181243898</v>
      </c>
      <c r="F14" s="64">
        <f t="shared" si="6"/>
        <v>12792.962604720104</v>
      </c>
      <c r="G14" s="64">
        <f t="shared" si="6"/>
        <v>0</v>
      </c>
      <c r="H14" s="64">
        <f t="shared" si="6"/>
        <v>0</v>
      </c>
      <c r="I14" s="62">
        <f t="shared" si="6"/>
        <v>14441.755388733878</v>
      </c>
      <c r="J14" s="63">
        <f t="shared" si="6"/>
        <v>12184.395451096765</v>
      </c>
      <c r="K14" s="64">
        <f t="shared" si="6"/>
        <v>13128.043268909238</v>
      </c>
      <c r="L14" s="64">
        <f t="shared" si="6"/>
        <v>0</v>
      </c>
      <c r="M14" s="61">
        <f t="shared" si="6"/>
        <v>40543.657440890922</v>
      </c>
      <c r="N14" s="61">
        <f t="shared" si="6"/>
        <v>39754.194108739881</v>
      </c>
      <c r="O14" s="61">
        <f t="shared" si="6"/>
        <v>1166.807598344089</v>
      </c>
      <c r="P14" s="61">
        <f t="shared" si="6"/>
        <v>789.46333215104403</v>
      </c>
    </row>
    <row r="15" spans="2:18" x14ac:dyDescent="0.35">
      <c r="B15" s="59" t="s">
        <v>13</v>
      </c>
      <c r="C15" s="59">
        <f>SUM(C11:C14)</f>
        <v>300759.57</v>
      </c>
      <c r="D15" s="59">
        <f t="shared" ref="D15:L15" si="7">SUM(D11:D14)</f>
        <v>92770.866091635922</v>
      </c>
      <c r="E15" s="59">
        <f t="shared" si="7"/>
        <v>54609.259592981747</v>
      </c>
      <c r="F15" s="59">
        <f t="shared" si="7"/>
        <v>59756.765310427254</v>
      </c>
      <c r="G15" s="59">
        <f t="shared" si="7"/>
        <v>14014.991553953028</v>
      </c>
      <c r="H15" s="59">
        <f t="shared" si="7"/>
        <v>47635.57110820424</v>
      </c>
      <c r="I15" s="59">
        <f t="shared" si="7"/>
        <v>101129.28142526919</v>
      </c>
      <c r="J15" s="59">
        <f t="shared" si="7"/>
        <v>40242.22907190457</v>
      </c>
      <c r="K15" s="59">
        <f t="shared" si="7"/>
        <v>111765.1475703458</v>
      </c>
      <c r="L15" s="59">
        <f t="shared" si="7"/>
        <v>0</v>
      </c>
      <c r="M15" s="59">
        <f>SUM(M11:M14)</f>
        <v>268787.45365720219</v>
      </c>
      <c r="N15" s="59">
        <f>SUM(N11:N14)</f>
        <v>253136.65806751957</v>
      </c>
      <c r="O15" s="59">
        <f>SUM(O11:O14)</f>
        <v>47622.911932480471</v>
      </c>
      <c r="P15" s="59">
        <f>SUM(P11:P14)</f>
        <v>15650.795589682632</v>
      </c>
    </row>
    <row r="17" spans="2:18" x14ac:dyDescent="0.35">
      <c r="B17" s="15" t="s">
        <v>46</v>
      </c>
      <c r="C17">
        <f>C7/C15</f>
        <v>612.91510358257256</v>
      </c>
    </row>
    <row r="18" spans="2:18" x14ac:dyDescent="0.35">
      <c r="E18" s="47">
        <v>41826.230000000003</v>
      </c>
      <c r="M18">
        <v>39754.194108739903</v>
      </c>
      <c r="O18" s="78">
        <f>O5-P5</f>
        <v>16423219</v>
      </c>
    </row>
    <row r="19" spans="2:18" x14ac:dyDescent="0.35">
      <c r="E19" s="47"/>
      <c r="O19" s="73"/>
    </row>
    <row r="20" spans="2:18" x14ac:dyDescent="0.35">
      <c r="E20" s="47"/>
      <c r="I20" s="47"/>
      <c r="K20" s="47">
        <f>K4-F4</f>
        <v>29196561</v>
      </c>
      <c r="M20">
        <v>33582.221876552299</v>
      </c>
      <c r="Q20">
        <v>806.45666666666671</v>
      </c>
      <c r="R20">
        <v>789.46333215104403</v>
      </c>
    </row>
    <row r="21" spans="2:18" x14ac:dyDescent="0.35">
      <c r="E21" s="47"/>
      <c r="I21" s="47"/>
      <c r="K21" s="39">
        <v>28784824</v>
      </c>
    </row>
    <row r="22" spans="2:18" x14ac:dyDescent="0.35">
      <c r="E22" s="47"/>
      <c r="I22" s="47"/>
      <c r="K22" s="40">
        <v>593000</v>
      </c>
      <c r="O22" s="47">
        <f>O14+P14</f>
        <v>1956.2709304951331</v>
      </c>
    </row>
    <row r="25" spans="2:18" x14ac:dyDescent="0.35">
      <c r="E25" s="47"/>
      <c r="I25">
        <v>9481170</v>
      </c>
    </row>
    <row r="26" spans="2:18" x14ac:dyDescent="0.35">
      <c r="N26" s="47"/>
    </row>
    <row r="27" spans="2:18" x14ac:dyDescent="0.35">
      <c r="D27" s="47">
        <f>D5+E5</f>
        <v>20583051</v>
      </c>
    </row>
    <row r="28" spans="2:18" x14ac:dyDescent="0.35">
      <c r="D28" s="47">
        <f>D27-N5</f>
        <v>0</v>
      </c>
    </row>
    <row r="33" spans="4:8" x14ac:dyDescent="0.35">
      <c r="D33">
        <v>948170</v>
      </c>
    </row>
    <row r="36" spans="4:8" ht="29" x14ac:dyDescent="0.35">
      <c r="E36" s="59" t="s">
        <v>2</v>
      </c>
      <c r="F36" s="59" t="s">
        <v>15</v>
      </c>
      <c r="G36" s="59" t="s">
        <v>16</v>
      </c>
      <c r="H36" s="65" t="s">
        <v>20</v>
      </c>
    </row>
    <row r="37" spans="4:8" ht="58" x14ac:dyDescent="0.35">
      <c r="E37" s="60" t="s">
        <v>7</v>
      </c>
      <c r="F37" s="68">
        <f>C13</f>
        <v>61713.120000000003</v>
      </c>
      <c r="G37" s="85">
        <v>0.54</v>
      </c>
      <c r="H37" s="45" t="s">
        <v>84</v>
      </c>
    </row>
    <row r="38" spans="4:8" ht="43.5" x14ac:dyDescent="0.35">
      <c r="E38" s="60" t="s">
        <v>9</v>
      </c>
      <c r="F38" s="68">
        <f>C14</f>
        <v>41826.229999999996</v>
      </c>
      <c r="G38" s="85">
        <v>0.95</v>
      </c>
      <c r="H38" s="45" t="s">
        <v>83</v>
      </c>
    </row>
    <row r="42" spans="4:8" x14ac:dyDescent="0.35">
      <c r="D42">
        <f>G38/F38</f>
        <v>2.27130200355136E-5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67F4-1283-4094-B26F-DEB0685C8AC5}">
  <dimension ref="B2:M25"/>
  <sheetViews>
    <sheetView topLeftCell="A15" workbookViewId="0">
      <selection activeCell="C15" sqref="C15:D24"/>
    </sheetView>
  </sheetViews>
  <sheetFormatPr defaultRowHeight="14.5" x14ac:dyDescent="0.35"/>
  <cols>
    <col min="1" max="1" width="8.7265625" customWidth="1"/>
    <col min="2" max="2" width="4" style="14" customWidth="1"/>
    <col min="3" max="3" width="47.453125" style="15" customWidth="1"/>
    <col min="4" max="4" width="12.81640625" style="15" customWidth="1"/>
    <col min="5" max="5" width="14.26953125" style="15" customWidth="1"/>
    <col min="6" max="6" width="12.81640625" style="15" customWidth="1"/>
    <col min="7" max="7" width="11.81640625" customWidth="1"/>
    <col min="8" max="8" width="12.54296875" customWidth="1"/>
    <col min="9" max="9" width="13.26953125" customWidth="1"/>
    <col min="10" max="10" width="15.453125" customWidth="1"/>
    <col min="11" max="11" width="10.453125" customWidth="1"/>
    <col min="12" max="12" width="16.1796875" customWidth="1"/>
    <col min="13" max="13" width="15.453125" customWidth="1"/>
    <col min="14" max="14" width="8.7265625" customWidth="1"/>
  </cols>
  <sheetData>
    <row r="2" spans="2:13" x14ac:dyDescent="0.35">
      <c r="B2" s="16" t="s">
        <v>47</v>
      </c>
      <c r="C2" s="17" t="s">
        <v>48</v>
      </c>
      <c r="D2" s="17" t="s">
        <v>49</v>
      </c>
      <c r="E2" s="17" t="s">
        <v>50</v>
      </c>
      <c r="F2" s="18" t="s">
        <v>51</v>
      </c>
      <c r="I2" s="17" t="s">
        <v>2</v>
      </c>
      <c r="J2" s="17" t="s">
        <v>52</v>
      </c>
      <c r="K2" s="17" t="s">
        <v>53</v>
      </c>
      <c r="L2" s="17" t="s">
        <v>54</v>
      </c>
      <c r="M2" s="17" t="s">
        <v>5</v>
      </c>
    </row>
    <row r="3" spans="2:13" ht="29" x14ac:dyDescent="0.35">
      <c r="B3" s="19">
        <v>1</v>
      </c>
      <c r="C3" s="20" t="s">
        <v>55</v>
      </c>
      <c r="D3" s="20" t="s">
        <v>56</v>
      </c>
      <c r="E3" s="75">
        <v>7303950</v>
      </c>
      <c r="F3" s="75">
        <v>6648170</v>
      </c>
      <c r="I3" s="3" t="s">
        <v>7</v>
      </c>
      <c r="J3" s="4">
        <v>61713.120000000003</v>
      </c>
      <c r="K3" s="4">
        <v>34314.305</v>
      </c>
      <c r="L3" s="4">
        <v>-15811.17</v>
      </c>
      <c r="M3" s="4">
        <v>45901.95</v>
      </c>
    </row>
    <row r="4" spans="2:13" ht="29" x14ac:dyDescent="0.35">
      <c r="B4" s="21">
        <v>2</v>
      </c>
      <c r="C4" s="22" t="s">
        <v>57</v>
      </c>
      <c r="D4" s="22" t="s">
        <v>58</v>
      </c>
      <c r="E4" s="76">
        <v>2295000</v>
      </c>
      <c r="F4" s="76"/>
      <c r="K4" s="23"/>
      <c r="L4" s="23"/>
      <c r="M4" s="23"/>
    </row>
    <row r="5" spans="2:13" x14ac:dyDescent="0.35">
      <c r="B5" s="21">
        <v>3</v>
      </c>
      <c r="C5" s="22" t="s">
        <v>59</v>
      </c>
      <c r="D5" s="22" t="s">
        <v>58</v>
      </c>
      <c r="E5" s="76">
        <v>8294150</v>
      </c>
      <c r="F5" s="76"/>
    </row>
    <row r="6" spans="2:13" ht="29" x14ac:dyDescent="0.35">
      <c r="B6" s="19">
        <v>4</v>
      </c>
      <c r="C6" s="20" t="s">
        <v>60</v>
      </c>
      <c r="D6" s="20" t="s">
        <v>56</v>
      </c>
      <c r="E6" s="75">
        <v>4145000</v>
      </c>
      <c r="F6" s="75">
        <v>2833000</v>
      </c>
    </row>
    <row r="7" spans="2:13" x14ac:dyDescent="0.35">
      <c r="B7" s="19">
        <v>5</v>
      </c>
      <c r="C7" s="20" t="s">
        <v>61</v>
      </c>
      <c r="D7" s="20" t="s">
        <v>56</v>
      </c>
      <c r="E7" s="75">
        <v>2027500</v>
      </c>
      <c r="F7" s="75"/>
    </row>
    <row r="8" spans="2:13" x14ac:dyDescent="0.35">
      <c r="B8" s="19">
        <v>6</v>
      </c>
      <c r="C8" s="20" t="s">
        <v>62</v>
      </c>
      <c r="D8" s="20"/>
      <c r="E8" s="75">
        <v>1975000</v>
      </c>
      <c r="F8" s="75"/>
    </row>
    <row r="9" spans="2:13" ht="43.5" x14ac:dyDescent="0.35">
      <c r="B9" s="24">
        <v>7</v>
      </c>
      <c r="C9" s="25" t="s">
        <v>63</v>
      </c>
      <c r="D9" s="25" t="s">
        <v>64</v>
      </c>
      <c r="E9" s="77">
        <v>2356140</v>
      </c>
      <c r="F9" s="77"/>
    </row>
    <row r="10" spans="2:13" ht="43.5" x14ac:dyDescent="0.35">
      <c r="B10" s="24">
        <v>8</v>
      </c>
      <c r="C10" s="25" t="s">
        <v>65</v>
      </c>
      <c r="D10" s="25" t="s">
        <v>64</v>
      </c>
      <c r="E10" s="77">
        <v>2325090</v>
      </c>
      <c r="F10" s="77"/>
    </row>
    <row r="11" spans="2:13" ht="43.5" x14ac:dyDescent="0.35">
      <c r="B11" s="21">
        <v>9</v>
      </c>
      <c r="C11" s="22" t="s">
        <v>66</v>
      </c>
      <c r="D11" s="22" t="s">
        <v>58</v>
      </c>
      <c r="E11" s="76">
        <v>3859440</v>
      </c>
      <c r="F11" s="76"/>
    </row>
    <row r="12" spans="2:13" ht="43.5" x14ac:dyDescent="0.35">
      <c r="B12" s="21">
        <v>10</v>
      </c>
      <c r="C12" s="22" t="s">
        <v>67</v>
      </c>
      <c r="D12" s="22" t="s">
        <v>58</v>
      </c>
      <c r="E12" s="76">
        <v>2425000</v>
      </c>
      <c r="F12" s="76"/>
    </row>
    <row r="13" spans="2:13" x14ac:dyDescent="0.35">
      <c r="E13" s="74">
        <f>SUM(E3:E12)</f>
        <v>37006270</v>
      </c>
    </row>
    <row r="15" spans="2:13" ht="29" x14ac:dyDescent="0.35">
      <c r="C15" s="20" t="s">
        <v>55</v>
      </c>
      <c r="D15" s="20" t="s">
        <v>80</v>
      </c>
      <c r="E15" s="82">
        <v>7303950</v>
      </c>
      <c r="F15" s="80"/>
      <c r="G15" s="81">
        <f t="shared" ref="G15:G24" si="0">E15/600</f>
        <v>12173.25</v>
      </c>
      <c r="H15" s="82">
        <v>6648170</v>
      </c>
    </row>
    <row r="16" spans="2:13" ht="29" x14ac:dyDescent="0.35">
      <c r="C16" s="20" t="s">
        <v>57</v>
      </c>
      <c r="D16" s="20" t="s">
        <v>80</v>
      </c>
      <c r="E16" s="82">
        <v>2295000</v>
      </c>
      <c r="F16" s="80"/>
      <c r="G16" s="81">
        <f t="shared" si="0"/>
        <v>3825</v>
      </c>
      <c r="H16" s="80">
        <v>915000</v>
      </c>
    </row>
    <row r="17" spans="3:8" x14ac:dyDescent="0.35">
      <c r="C17" s="22" t="s">
        <v>59</v>
      </c>
      <c r="D17" s="22" t="s">
        <v>82</v>
      </c>
      <c r="E17" s="82">
        <v>8294150</v>
      </c>
      <c r="F17" s="80"/>
      <c r="G17" s="81">
        <f t="shared" si="0"/>
        <v>13823.583333333334</v>
      </c>
      <c r="H17" s="80"/>
    </row>
    <row r="18" spans="3:8" ht="29" x14ac:dyDescent="0.35">
      <c r="C18" s="20" t="s">
        <v>60</v>
      </c>
      <c r="D18" s="20" t="s">
        <v>80</v>
      </c>
      <c r="E18" s="82">
        <v>4145000</v>
      </c>
      <c r="F18" s="80"/>
      <c r="G18" s="81">
        <f t="shared" si="0"/>
        <v>6908.333333333333</v>
      </c>
      <c r="H18" s="82">
        <v>2833000</v>
      </c>
    </row>
    <row r="19" spans="3:8" x14ac:dyDescent="0.35">
      <c r="C19" s="20" t="s">
        <v>61</v>
      </c>
      <c r="D19" s="20" t="s">
        <v>80</v>
      </c>
      <c r="E19" s="82">
        <v>2027500</v>
      </c>
      <c r="F19" s="80"/>
      <c r="G19" s="81">
        <f t="shared" si="0"/>
        <v>3379.1666666666665</v>
      </c>
      <c r="H19" s="80">
        <v>1955000</v>
      </c>
    </row>
    <row r="20" spans="3:8" x14ac:dyDescent="0.35">
      <c r="C20" s="84" t="s">
        <v>62</v>
      </c>
      <c r="D20" s="83" t="s">
        <v>81</v>
      </c>
      <c r="E20" s="82">
        <v>1975000</v>
      </c>
      <c r="F20" s="80"/>
      <c r="G20" s="81">
        <f t="shared" si="0"/>
        <v>3291.6666666666665</v>
      </c>
      <c r="H20" s="80"/>
    </row>
    <row r="21" spans="3:8" ht="43.5" x14ac:dyDescent="0.35">
      <c r="C21" s="84" t="s">
        <v>63</v>
      </c>
      <c r="D21" s="83" t="s">
        <v>81</v>
      </c>
      <c r="E21" s="82">
        <v>2356140</v>
      </c>
      <c r="F21" s="80"/>
      <c r="G21" s="81">
        <f t="shared" si="0"/>
        <v>3926.9</v>
      </c>
      <c r="H21" s="80"/>
    </row>
    <row r="22" spans="3:8" ht="43.5" x14ac:dyDescent="0.35">
      <c r="C22" s="84" t="s">
        <v>65</v>
      </c>
      <c r="D22" s="83" t="s">
        <v>81</v>
      </c>
      <c r="E22" s="82">
        <v>2325090</v>
      </c>
      <c r="F22" s="80"/>
      <c r="G22" s="81">
        <f t="shared" si="0"/>
        <v>3875.15</v>
      </c>
      <c r="H22" s="80"/>
    </row>
    <row r="23" spans="3:8" ht="43.5" x14ac:dyDescent="0.35">
      <c r="C23" s="20" t="s">
        <v>66</v>
      </c>
      <c r="D23" s="20" t="s">
        <v>80</v>
      </c>
      <c r="E23" s="82">
        <v>3859440</v>
      </c>
      <c r="F23" s="80"/>
      <c r="G23" s="81">
        <f t="shared" si="0"/>
        <v>6432.4</v>
      </c>
      <c r="H23" s="80">
        <v>3367095</v>
      </c>
    </row>
    <row r="24" spans="3:8" ht="43.5" x14ac:dyDescent="0.35">
      <c r="C24" s="20" t="s">
        <v>67</v>
      </c>
      <c r="D24" s="20" t="s">
        <v>80</v>
      </c>
      <c r="E24" s="82">
        <v>2425000</v>
      </c>
      <c r="F24" s="80"/>
      <c r="G24" s="81">
        <f t="shared" si="0"/>
        <v>4041.6666666666665</v>
      </c>
      <c r="H24" s="80">
        <v>2390000</v>
      </c>
    </row>
    <row r="25" spans="3:8" x14ac:dyDescent="0.35">
      <c r="C25"/>
      <c r="D25"/>
      <c r="E25" s="79">
        <f>SUM(E15:E24)</f>
        <v>37006270</v>
      </c>
      <c r="F25" s="79">
        <f>SUM(F15:F24)</f>
        <v>0</v>
      </c>
      <c r="G25" s="79">
        <f>SUM(G15:G24)</f>
        <v>61677.116666666669</v>
      </c>
      <c r="H25" s="79">
        <f>SUM(H15:H24)</f>
        <v>18108265</v>
      </c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F38D-6586-4DBF-8F05-3984F80E779F}">
  <dimension ref="C1:E9"/>
  <sheetViews>
    <sheetView workbookViewId="0"/>
  </sheetViews>
  <sheetFormatPr defaultRowHeight="14.5" x14ac:dyDescent="0.35"/>
  <cols>
    <col min="1" max="2" width="8.7265625" customWidth="1"/>
    <col min="3" max="3" width="31.453125" customWidth="1"/>
    <col min="4" max="4" width="18.81640625" customWidth="1"/>
    <col min="5" max="5" width="22.54296875" customWidth="1"/>
    <col min="6" max="6" width="8.7265625" customWidth="1"/>
  </cols>
  <sheetData>
    <row r="1" spans="3:5" ht="15" thickBot="1" x14ac:dyDescent="0.4"/>
    <row r="2" spans="3:5" ht="15" thickBot="1" x14ac:dyDescent="0.4">
      <c r="C2" s="26" t="s">
        <v>68</v>
      </c>
      <c r="D2" s="27" t="s">
        <v>69</v>
      </c>
      <c r="E2" s="27" t="s">
        <v>70</v>
      </c>
    </row>
    <row r="3" spans="3:5" ht="48" x14ac:dyDescent="0.35">
      <c r="C3" s="28" t="s">
        <v>57</v>
      </c>
      <c r="D3" s="29" t="s">
        <v>71</v>
      </c>
      <c r="E3" s="30" t="s">
        <v>72</v>
      </c>
    </row>
    <row r="4" spans="3:5" ht="16" x14ac:dyDescent="0.35">
      <c r="C4" s="31" t="s">
        <v>61</v>
      </c>
      <c r="D4" s="32" t="s">
        <v>73</v>
      </c>
      <c r="E4" s="33" t="s">
        <v>74</v>
      </c>
    </row>
    <row r="5" spans="3:5" ht="32" x14ac:dyDescent="0.35">
      <c r="C5" s="28" t="s">
        <v>62</v>
      </c>
      <c r="D5" s="29" t="s">
        <v>75</v>
      </c>
      <c r="E5" s="30" t="s">
        <v>72</v>
      </c>
    </row>
    <row r="6" spans="3:5" ht="80" x14ac:dyDescent="0.35">
      <c r="C6" s="31" t="s">
        <v>63</v>
      </c>
      <c r="D6" s="32" t="s">
        <v>76</v>
      </c>
      <c r="E6" s="33" t="s">
        <v>74</v>
      </c>
    </row>
    <row r="7" spans="3:5" ht="80" x14ac:dyDescent="0.35">
      <c r="C7" s="31" t="s">
        <v>65</v>
      </c>
      <c r="D7" s="32" t="s">
        <v>77</v>
      </c>
      <c r="E7" s="33" t="s">
        <v>74</v>
      </c>
    </row>
    <row r="8" spans="3:5" ht="64" x14ac:dyDescent="0.35">
      <c r="C8" s="28" t="s">
        <v>66</v>
      </c>
      <c r="D8" s="29" t="s">
        <v>78</v>
      </c>
      <c r="E8" s="30" t="s">
        <v>72</v>
      </c>
    </row>
    <row r="9" spans="3:5" ht="64" x14ac:dyDescent="0.35">
      <c r="C9" s="28" t="s">
        <v>67</v>
      </c>
      <c r="D9" s="29" t="s">
        <v>79</v>
      </c>
      <c r="E9" s="30" t="s">
        <v>72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Act6</vt:lpstr>
      <vt:lpstr>Act6 (2)</vt:lpstr>
      <vt:lpstr>Sheet2</vt:lpstr>
      <vt:lpstr>Planing_Mars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OUEDRAOGO</dc:creator>
  <cp:keywords/>
  <dc:description/>
  <cp:lastModifiedBy>Igor OUEDRAOGO</cp:lastModifiedBy>
  <cp:revision/>
  <dcterms:created xsi:type="dcterms:W3CDTF">2025-03-14T08:21:15Z</dcterms:created>
  <dcterms:modified xsi:type="dcterms:W3CDTF">2025-11-06T15:36:16Z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2025-04-23T14:52:30Z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de3b3368-2a26-4eeb-888c-ceabbb5cedaf</vt:lpwstr>
  </property>
  <property fmtid="{D5CDD505-2E9C-101B-9397-08002B2CF9AE}" pid="8" name="MSIP_Label_2a3a108f-898d-4589-9ebc-7ee3b46df9b8_ContentBits">
    <vt:lpwstr>0</vt:lpwstr>
  </property>
</Properties>
</file>